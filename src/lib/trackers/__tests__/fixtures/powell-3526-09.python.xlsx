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1F3864"/>
      <sz val="9"/>
    </font>
    <font>
      <b val="1"/>
      <color rgb="001F3864"/>
      <sz val="9"/>
    </font>
    <font>
      <b val="1"/>
      <color rgb="00FFFFFF"/>
      <sz val="12"/>
    </font>
    <font>
      <color rgb="001F3864"/>
      <sz val="10"/>
    </font>
    <font>
      <b val="1"/>
      <color rgb="001F3864"/>
      <sz val="11"/>
    </font>
    <font>
      <b val="1"/>
      <color rgb="00FFFFFF"/>
      <sz val="9"/>
    </font>
    <font>
      <color rgb="00595959"/>
      <sz val="10"/>
    </font>
    <font>
      <b val="1"/>
      <color rgb="001F3864"/>
      <sz val="10"/>
    </font>
    <font>
      <b val="1"/>
      <color rgb="00548235"/>
      <sz val="10"/>
    </font>
    <font>
      <b val="1"/>
      <color rgb="00C00000"/>
      <sz val="10"/>
    </font>
    <font>
      <b val="1"/>
      <color rgb="00FFFFFF"/>
      <sz val="11"/>
    </font>
    <font>
      <b val="1"/>
      <color rgb="001F3864"/>
      <sz val="12"/>
    </font>
    <font>
      <b val="1"/>
      <color rgb="001F3864"/>
      <sz val="13"/>
    </font>
    <font>
      <b val="1"/>
      <color rgb="00C00000"/>
      <sz val="13"/>
    </font>
    <font>
      <color rgb="00375623"/>
      <sz val="10"/>
    </font>
    <font>
      <b val="1"/>
      <color rgb="00375623"/>
      <sz val="12"/>
    </font>
    <font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164" fontId="5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164" fontId="5" fillId="7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0" fontId="10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indent="1"/>
    </xf>
    <xf numFmtId="164" fontId="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10" fontId="8" fillId="9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164" fontId="13" fillId="3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164" fontId="13" fillId="10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/>
    </xf>
    <xf numFmtId="10" fontId="17" fillId="7" borderId="1" applyAlignment="1" pivotButton="0" quotePrefix="0" xfId="0">
      <alignment horizontal="right" vertical="center"/>
    </xf>
    <xf numFmtId="0" fontId="18" fillId="6" borderId="0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5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7" customWidth="1" min="3" max="3"/>
    <col width="15" customWidth="1" min="4" max="4"/>
    <col width="12" customWidth="1" min="5" max="5"/>
    <col width="17" customWidth="1" min="6" max="6"/>
    <col width="16" customWidth="1" min="7" max="7"/>
    <col width="17" customWidth="1" min="8" max="8"/>
  </cols>
  <sheetData>
    <row r="1" ht="42" customHeight="1">
      <c r="A1" s="1" t="inlineStr">
        <is>
          <t>POWELL RESIDENCE   |   PROGRESS PAYMENT TRACKER</t>
        </is>
      </c>
    </row>
    <row r="2" ht="20" customHeight="1">
      <c r="A2" s="2" t="inlineStr">
        <is>
          <t>Contractor: Saddlewood Contracting LLC   |   Owners: Mark &amp; Heather Powell   |   3526 Emerson St, San Diego CA 92106</t>
        </is>
      </c>
      <c r="E2" s="3" t="inlineStr">
        <is>
          <t>Invoice #: 3526-09</t>
        </is>
      </c>
      <c r="G2" s="3" t="inlineStr">
        <is>
          <t>Date: 09/09/2026</t>
        </is>
      </c>
    </row>
    <row r="3" ht="7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26" customHeight="1">
      <c r="A4" s="5" t="inlineStr">
        <is>
          <t xml:space="preserve">  PAYMENT SUMMARY  (Cash Received to Date)</t>
        </is>
      </c>
    </row>
    <row r="5" ht="22" customHeight="1">
      <c r="A5" s="6" t="inlineStr">
        <is>
          <t xml:space="preserve">  Check #253   —   04/30/2026</t>
        </is>
      </c>
      <c r="F5" s="7" t="n">
        <v>50000</v>
      </c>
    </row>
    <row r="6" ht="22" customHeight="1">
      <c r="A6" s="6" t="inlineStr">
        <is>
          <t xml:space="preserve">  Check #258   —   05/21/2026</t>
        </is>
      </c>
      <c r="F6" s="7" t="n">
        <v>60000</v>
      </c>
    </row>
    <row r="7" ht="22" customHeight="1">
      <c r="A7" s="6" t="inlineStr">
        <is>
          <t xml:space="preserve">  Owner Draw (ref. ________)   —   05/31/2026</t>
        </is>
      </c>
      <c r="F7" s="7" t="n">
        <v>90000</v>
      </c>
    </row>
    <row r="8" ht="22" customHeight="1">
      <c r="A8" s="6" t="inlineStr">
        <is>
          <t xml:space="preserve">  Owner Payment (ref. ________)   —   06/16/2026</t>
        </is>
      </c>
      <c r="F8" s="7" t="n">
        <v>73109.58</v>
      </c>
    </row>
    <row r="9" ht="22" customHeight="1">
      <c r="A9" s="6" t="inlineStr">
        <is>
          <t xml:space="preserve">  Owner Payment (ref. ________)   —   07/01/2026</t>
        </is>
      </c>
      <c r="F9" s="7" t="n">
        <v>65000</v>
      </c>
    </row>
    <row r="10" ht="22" customHeight="1">
      <c r="A10" s="6" t="inlineStr">
        <is>
          <t xml:space="preserve">  Owner Payment (ref. ________) — Inv #3526-05   —   07/16/2026</t>
        </is>
      </c>
      <c r="F10" s="7" t="n">
        <v>29800</v>
      </c>
    </row>
    <row r="11" ht="22" customHeight="1">
      <c r="A11" s="6" t="inlineStr">
        <is>
          <t xml:space="preserve">  Owner Deposit (ref. ________) — Inv #3526-06   —   07/28/2026</t>
        </is>
      </c>
      <c r="F11" s="7" t="n">
        <v>57426.72</v>
      </c>
    </row>
    <row r="12" ht="22" customHeight="1">
      <c r="A12" s="6" t="inlineStr">
        <is>
          <t xml:space="preserve">  Owner Payment (ref. ________) — Inv #3526-07   —   08/14/2026</t>
        </is>
      </c>
      <c r="F12" s="7" t="n">
        <v>30000</v>
      </c>
    </row>
    <row r="13" ht="22" customHeight="1">
      <c r="A13" s="6" t="inlineStr">
        <is>
          <t xml:space="preserve">  Owner Payment (ref. ________) — Inv #3526-08   —   __/__/2026</t>
        </is>
      </c>
      <c r="F13" s="7" t="n">
        <v>35500</v>
      </c>
    </row>
    <row r="14" ht="26" customHeight="1">
      <c r="A14" s="5" t="inlineStr">
        <is>
          <t xml:space="preserve">  TOTAL PAID TO DATE</t>
        </is>
      </c>
      <c r="F14" s="8">
        <f>F5+F6+F7+F8+F9+F10+F11+F12+F13</f>
        <v/>
      </c>
    </row>
    <row r="15" ht="7" customHeight="1">
      <c r="A15" s="4" t="n"/>
      <c r="B15" s="4" t="n"/>
      <c r="C15" s="4" t="n"/>
      <c r="D15" s="4" t="n"/>
      <c r="E15" s="4" t="n"/>
      <c r="F15" s="4" t="n"/>
      <c r="G15" s="4" t="n"/>
      <c r="H15" s="4" t="n"/>
    </row>
    <row r="16" ht="44" customHeight="1">
      <c r="A16" s="9" t="inlineStr">
        <is>
          <t>DESCRIPTION OF WORK</t>
        </is>
      </c>
      <c r="B16" s="9" t="inlineStr">
        <is>
          <t>CONTRACT $
(Original Quoted)</t>
        </is>
      </c>
      <c r="C16" s="9" t="inlineStr">
        <is>
          <t>CHANGE ORDERS
(+ Increase / − Decrease)</t>
        </is>
      </c>
      <c r="D16" s="9" t="inlineStr">
        <is>
          <t>TOTAL $
(Current Contract)</t>
        </is>
      </c>
      <c r="E16" s="9" t="inlineStr">
        <is>
          <t>%
COMPLETE</t>
        </is>
      </c>
      <c r="F16" s="9" t="inlineStr">
        <is>
          <t>PREVIOUSLY PERFORMED
(Prior to This Invoice)</t>
        </is>
      </c>
      <c r="G16" s="9" t="inlineStr">
        <is>
          <t>CURRENT $ DUE
(This Invoice)</t>
        </is>
      </c>
      <c r="H16" s="9" t="inlineStr">
        <is>
          <t>TOTAL TO DATE
(Performed + Draw)</t>
        </is>
      </c>
    </row>
    <row r="17" ht="22" customHeight="1">
      <c r="A17" s="10" t="inlineStr">
        <is>
          <t>Crawl Space  ($10,000 of $15,015 completed)</t>
        </is>
      </c>
      <c r="B17" s="11" t="n">
        <v>15015</v>
      </c>
      <c r="C17" s="12" t="n">
        <v>0</v>
      </c>
      <c r="D17" s="13">
        <f>B17+C17</f>
        <v/>
      </c>
      <c r="E17" s="14">
        <f>10000/D17</f>
        <v/>
      </c>
      <c r="F17" s="11">
        <f>D17*E17</f>
        <v/>
      </c>
      <c r="G17" s="12" t="n">
        <v>0</v>
      </c>
      <c r="H17" s="11">
        <f>F17+G17</f>
        <v/>
      </c>
    </row>
    <row r="18" ht="19" customHeight="1">
      <c r="A18" s="15" t="inlineStr">
        <is>
          <t>Attic   [TBD — Pricing Pending]</t>
        </is>
      </c>
      <c r="B18" s="16" t="n">
        <v>0</v>
      </c>
      <c r="C18" s="17" t="n">
        <v>0</v>
      </c>
      <c r="D18" s="18">
        <f>B18+C18</f>
        <v/>
      </c>
      <c r="E18" s="19" t="n">
        <v>0</v>
      </c>
      <c r="F18" s="16">
        <f>D18*E18</f>
        <v/>
      </c>
      <c r="G18" s="17" t="n">
        <v>0</v>
      </c>
      <c r="H18" s="16">
        <f>F18+G18</f>
        <v/>
      </c>
    </row>
    <row r="19" ht="19" customHeight="1">
      <c r="A19" s="15" t="inlineStr">
        <is>
          <t>Roof &amp; Skylights   [TBD — Pricing Pending]</t>
        </is>
      </c>
      <c r="B19" s="16" t="n">
        <v>0</v>
      </c>
      <c r="C19" s="17" t="n">
        <v>0</v>
      </c>
      <c r="D19" s="18">
        <f>B19+C19</f>
        <v/>
      </c>
      <c r="E19" s="19" t="n">
        <v>0</v>
      </c>
      <c r="F19" s="16">
        <f>D19*E19</f>
        <v/>
      </c>
      <c r="G19" s="17" t="n">
        <v>0</v>
      </c>
      <c r="H19" s="16">
        <f>F19+G19</f>
        <v/>
      </c>
    </row>
    <row r="20" ht="19" customHeight="1">
      <c r="A20" s="20" t="inlineStr">
        <is>
          <t>✔  Roof Repairs   [100% COMPLETE]</t>
        </is>
      </c>
      <c r="B20" s="21" t="n">
        <v>0</v>
      </c>
      <c r="C20" s="22" t="n">
        <v>6000</v>
      </c>
      <c r="D20" s="23">
        <f>B20+C20</f>
        <v/>
      </c>
      <c r="E20" s="24" t="n">
        <v>1</v>
      </c>
      <c r="F20" s="21">
        <f>D20*E20</f>
        <v/>
      </c>
      <c r="G20" s="25" t="n">
        <v>0</v>
      </c>
      <c r="H20" s="21">
        <f>F20+G20</f>
        <v/>
      </c>
    </row>
    <row r="21" ht="19" customHeight="1">
      <c r="A21" s="20" t="inlineStr">
        <is>
          <t>✔  Interior Walls &amp; Framing   [100% COMPLETE]</t>
        </is>
      </c>
      <c r="B21" s="21" t="n">
        <v>0</v>
      </c>
      <c r="C21" s="22" t="n">
        <v>14368.5</v>
      </c>
      <c r="D21" s="23">
        <f>B21+C21</f>
        <v/>
      </c>
      <c r="E21" s="24" t="n">
        <v>1</v>
      </c>
      <c r="F21" s="21">
        <f>D21*E21</f>
        <v/>
      </c>
      <c r="G21" s="25" t="n">
        <v>0</v>
      </c>
      <c r="H21" s="21">
        <f>F21+G21</f>
        <v/>
      </c>
    </row>
    <row r="22" ht="19" customHeight="1">
      <c r="A22" s="26" t="inlineStr">
        <is>
          <t>Ceiling Heights &amp; Framing</t>
        </is>
      </c>
      <c r="B22" s="27" t="n">
        <v>0</v>
      </c>
      <c r="C22" s="28" t="n">
        <v>0</v>
      </c>
      <c r="D22" s="29">
        <f>B22+C22</f>
        <v/>
      </c>
      <c r="E22" s="30" t="n">
        <v>0</v>
      </c>
      <c r="F22" s="27">
        <f>D22*E22</f>
        <v/>
      </c>
      <c r="G22" s="28" t="n">
        <v>0</v>
      </c>
      <c r="H22" s="27">
        <f>F22+G22</f>
        <v/>
      </c>
    </row>
    <row r="23" ht="19" customHeight="1">
      <c r="A23" s="20" t="inlineStr">
        <is>
          <t>✔  HVAC — A/C Registers (CO)   [100% COMPLETE]   [A/C registers labor &amp; materials — balance of HVAC scope still TBD]</t>
        </is>
      </c>
      <c r="B23" s="21" t="n">
        <v>0</v>
      </c>
      <c r="C23" s="22" t="n">
        <v>2500</v>
      </c>
      <c r="D23" s="23">
        <f>B23+C23</f>
        <v/>
      </c>
      <c r="E23" s="24" t="n">
        <v>1</v>
      </c>
      <c r="F23" s="21">
        <f>D23*E23</f>
        <v/>
      </c>
      <c r="G23" s="25" t="n">
        <v>0</v>
      </c>
      <c r="H23" s="21">
        <f>F23+G23</f>
        <v/>
      </c>
    </row>
    <row r="24" ht="19" customHeight="1">
      <c r="A24" s="20" t="inlineStr">
        <is>
          <t>✔  Stucco   [100% COMPLETE]</t>
        </is>
      </c>
      <c r="B24" s="21" t="n">
        <v>27300</v>
      </c>
      <c r="C24" s="22" t="n">
        <v>10000</v>
      </c>
      <c r="D24" s="23">
        <f>B24+C24</f>
        <v/>
      </c>
      <c r="E24" s="24" t="n">
        <v>1</v>
      </c>
      <c r="F24" s="21">
        <f>D24*E24</f>
        <v/>
      </c>
      <c r="G24" s="25" t="n">
        <v>0</v>
      </c>
      <c r="H24" s="21">
        <f>F24+G24</f>
        <v/>
      </c>
    </row>
    <row r="25" ht="22" customHeight="1">
      <c r="A25" s="10" t="inlineStr">
        <is>
          <t>Kitchen  ($39,000 of $89,512 completed)</t>
        </is>
      </c>
      <c r="B25" s="11" t="n">
        <v>89512</v>
      </c>
      <c r="C25" s="12" t="n">
        <v>0</v>
      </c>
      <c r="D25" s="13">
        <f>B25+C25</f>
        <v/>
      </c>
      <c r="E25" s="14">
        <f>39000/D25</f>
        <v/>
      </c>
      <c r="F25" s="11">
        <f>D25*E25</f>
        <v/>
      </c>
      <c r="G25" s="12" t="n">
        <v>0</v>
      </c>
      <c r="H25" s="11">
        <f>F25+G25</f>
        <v/>
      </c>
    </row>
    <row r="26" ht="22" customHeight="1">
      <c r="A26" s="10" t="inlineStr">
        <is>
          <t>Primary Bath  ($22,000 of $62,055 completed)</t>
        </is>
      </c>
      <c r="B26" s="11" t="n">
        <v>62055</v>
      </c>
      <c r="C26" s="12" t="n">
        <v>0</v>
      </c>
      <c r="D26" s="13">
        <f>B26+C26</f>
        <v/>
      </c>
      <c r="E26" s="14">
        <f>22000/D26</f>
        <v/>
      </c>
      <c r="F26" s="11">
        <f>D26*E26</f>
        <v/>
      </c>
      <c r="G26" s="12" t="n">
        <v>0</v>
      </c>
      <c r="H26" s="11">
        <f>F26+G26</f>
        <v/>
      </c>
    </row>
    <row r="27" ht="22" customHeight="1">
      <c r="A27" s="10" t="inlineStr">
        <is>
          <t>Guest Bath  ($16,500 of $31,500 completed)</t>
        </is>
      </c>
      <c r="B27" s="11" t="n">
        <v>31500</v>
      </c>
      <c r="C27" s="12" t="n">
        <v>0</v>
      </c>
      <c r="D27" s="13">
        <f>B27+C27</f>
        <v/>
      </c>
      <c r="E27" s="14">
        <f>16500/D27</f>
        <v/>
      </c>
      <c r="F27" s="11">
        <f>D27*E27</f>
        <v/>
      </c>
      <c r="G27" s="12" t="n">
        <v>0</v>
      </c>
      <c r="H27" s="11">
        <f>F27+G27</f>
        <v/>
      </c>
    </row>
    <row r="28" ht="19" customHeight="1">
      <c r="A28" s="26" t="inlineStr">
        <is>
          <t>Powder Room</t>
        </is>
      </c>
      <c r="B28" s="27" t="n">
        <v>13492</v>
      </c>
      <c r="C28" s="28" t="n">
        <v>0</v>
      </c>
      <c r="D28" s="29">
        <f>B28+C28</f>
        <v/>
      </c>
      <c r="E28" s="30" t="n">
        <v>0</v>
      </c>
      <c r="F28" s="27">
        <f>D28*E28</f>
        <v/>
      </c>
      <c r="G28" s="28" t="n">
        <v>0</v>
      </c>
      <c r="H28" s="27">
        <f>F28+G28</f>
        <v/>
      </c>
    </row>
    <row r="29" ht="22" customHeight="1">
      <c r="A29" s="10" t="inlineStr">
        <is>
          <t>Laundry Room  ($10,000 of $23,572 completed)</t>
        </is>
      </c>
      <c r="B29" s="11" t="n">
        <v>23572</v>
      </c>
      <c r="C29" s="12" t="n">
        <v>0</v>
      </c>
      <c r="D29" s="13">
        <f>B29+C29</f>
        <v/>
      </c>
      <c r="E29" s="14">
        <f>10000/D29</f>
        <v/>
      </c>
      <c r="F29" s="11">
        <f>D29*E29</f>
        <v/>
      </c>
      <c r="G29" s="12" t="n">
        <v>0</v>
      </c>
      <c r="H29" s="11">
        <f>F29+G29</f>
        <v/>
      </c>
    </row>
    <row r="30" ht="22" customHeight="1">
      <c r="A30" s="10" t="inlineStr">
        <is>
          <t>Closets &amp; Mark's Office  ($15,000 of $41,737 completed)</t>
        </is>
      </c>
      <c r="B30" s="11" t="n">
        <v>41737</v>
      </c>
      <c r="C30" s="12" t="n">
        <v>0</v>
      </c>
      <c r="D30" s="13">
        <f>B30+C30</f>
        <v/>
      </c>
      <c r="E30" s="14">
        <f>15000/D30</f>
        <v/>
      </c>
      <c r="F30" s="11">
        <f>D30*E30</f>
        <v/>
      </c>
      <c r="G30" s="12" t="n">
        <v>0</v>
      </c>
      <c r="H30" s="11">
        <f>F30+G30</f>
        <v/>
      </c>
    </row>
    <row r="31" ht="19" customHeight="1">
      <c r="A31" s="26" t="inlineStr">
        <is>
          <t>Fireplaces</t>
        </is>
      </c>
      <c r="B31" s="27" t="n">
        <v>28087</v>
      </c>
      <c r="C31" s="28" t="n">
        <v>0</v>
      </c>
      <c r="D31" s="29">
        <f>B31+C31</f>
        <v/>
      </c>
      <c r="E31" s="30" t="n">
        <v>0</v>
      </c>
      <c r="F31" s="27">
        <f>D31*E31</f>
        <v/>
      </c>
      <c r="G31" s="28" t="n">
        <v>0</v>
      </c>
      <c r="H31" s="27">
        <f>F31+G31</f>
        <v/>
      </c>
    </row>
    <row r="32" ht="22" customHeight="1">
      <c r="A32" s="10" t="inlineStr">
        <is>
          <t>Doors  ($23,841.08 of $26,252 completed)</t>
        </is>
      </c>
      <c r="B32" s="11" t="n">
        <v>14752</v>
      </c>
      <c r="C32" s="22" t="n">
        <v>11500</v>
      </c>
      <c r="D32" s="13">
        <f>B32+C32</f>
        <v/>
      </c>
      <c r="E32" s="14">
        <f>23841.08/D32</f>
        <v/>
      </c>
      <c r="F32" s="11">
        <f>D32*E32</f>
        <v/>
      </c>
      <c r="G32" s="12" t="n">
        <v>0</v>
      </c>
      <c r="H32" s="11">
        <f>F32+G32</f>
        <v/>
      </c>
    </row>
    <row r="33" ht="19" customHeight="1">
      <c r="A33" s="20" t="inlineStr">
        <is>
          <t>✔  Flooring   [100% COMPLETE]   [labor $45,675 + material CO $21,251.72 — billed in full, paid]</t>
        </is>
      </c>
      <c r="B33" s="21" t="n">
        <v>45675</v>
      </c>
      <c r="C33" s="22" t="n">
        <v>21251.72</v>
      </c>
      <c r="D33" s="23">
        <f>B33+C33</f>
        <v/>
      </c>
      <c r="E33" s="24" t="n">
        <v>1</v>
      </c>
      <c r="F33" s="21">
        <f>D33*E33</f>
        <v/>
      </c>
      <c r="G33" s="25" t="n">
        <v>0</v>
      </c>
      <c r="H33" s="21">
        <f>F33+G33</f>
        <v/>
      </c>
    </row>
    <row r="34" ht="22" customHeight="1">
      <c r="A34" s="10" t="inlineStr">
        <is>
          <t>Electrical (Whole House)  ($79,000 of $90,000 completed)</t>
        </is>
      </c>
      <c r="B34" s="11" t="n">
        <v>105000</v>
      </c>
      <c r="C34" s="31" t="n">
        <v>-15000</v>
      </c>
      <c r="D34" s="13">
        <f>B34+C34</f>
        <v/>
      </c>
      <c r="E34" s="14">
        <f>79000/D34</f>
        <v/>
      </c>
      <c r="F34" s="11">
        <f>D34*E34</f>
        <v/>
      </c>
      <c r="G34" s="12" t="n">
        <v>0</v>
      </c>
      <c r="H34" s="11">
        <f>F34+G34</f>
        <v/>
      </c>
    </row>
    <row r="35" ht="22" customHeight="1">
      <c r="A35" s="10" t="inlineStr">
        <is>
          <t>Plumbing (Whole House)  ($46,800 of $70,000 completed)</t>
        </is>
      </c>
      <c r="B35" s="11" t="n">
        <v>94500</v>
      </c>
      <c r="C35" s="31" t="n">
        <v>-24500</v>
      </c>
      <c r="D35" s="13">
        <f>B35+C35</f>
        <v/>
      </c>
      <c r="E35" s="14">
        <f>46800/D35</f>
        <v/>
      </c>
      <c r="F35" s="11">
        <f>D35*E35</f>
        <v/>
      </c>
      <c r="G35" s="12" t="n">
        <v>0</v>
      </c>
      <c r="H35" s="11">
        <f>F35+G35</f>
        <v/>
      </c>
    </row>
    <row r="36" ht="19" customHeight="1">
      <c r="A36" s="20" t="inlineStr">
        <is>
          <t>✔  Insulation   [100% COMPLETE]</t>
        </is>
      </c>
      <c r="B36" s="21" t="n">
        <v>0</v>
      </c>
      <c r="C36" s="22" t="n">
        <v>13600</v>
      </c>
      <c r="D36" s="23">
        <f>B36+C36</f>
        <v/>
      </c>
      <c r="E36" s="24" t="n">
        <v>1</v>
      </c>
      <c r="F36" s="21">
        <f>D36*E36</f>
        <v/>
      </c>
      <c r="G36" s="25" t="n">
        <v>0</v>
      </c>
      <c r="H36" s="21">
        <f>F36+G36</f>
        <v/>
      </c>
    </row>
    <row r="37" ht="22" customHeight="1">
      <c r="A37" s="10" t="inlineStr">
        <is>
          <t>Drywall  ($46,000 of $47,250 completed)</t>
        </is>
      </c>
      <c r="B37" s="11" t="n">
        <v>49350</v>
      </c>
      <c r="C37" s="31" t="n">
        <v>-2100</v>
      </c>
      <c r="D37" s="13">
        <f>B37+C37</f>
        <v/>
      </c>
      <c r="E37" s="14">
        <f>46000/D37</f>
        <v/>
      </c>
      <c r="F37" s="11">
        <f>D37*E37</f>
        <v/>
      </c>
      <c r="G37" s="12" t="n">
        <v>0</v>
      </c>
      <c r="H37" s="11">
        <f>F37+G37</f>
        <v/>
      </c>
    </row>
    <row r="38" ht="22" customHeight="1">
      <c r="A38" s="10" t="inlineStr">
        <is>
          <t>Painting &amp; Baseboards  ($42,000 of $49,087 completed)</t>
        </is>
      </c>
      <c r="B38" s="11" t="n">
        <v>49087</v>
      </c>
      <c r="C38" s="12" t="n">
        <v>0</v>
      </c>
      <c r="D38" s="13">
        <f>B38+C38</f>
        <v/>
      </c>
      <c r="E38" s="14">
        <f>42000/D38</f>
        <v/>
      </c>
      <c r="F38" s="11">
        <f>D38*E38</f>
        <v/>
      </c>
      <c r="G38" s="12" t="n">
        <v>0</v>
      </c>
      <c r="H38" s="11">
        <f>F38+G38</f>
        <v/>
      </c>
    </row>
    <row r="39" ht="19" customHeight="1">
      <c r="A39" s="15" t="inlineStr">
        <is>
          <t>Rear Deck   [TBD — Pricing Pending]</t>
        </is>
      </c>
      <c r="B39" s="16" t="n">
        <v>0</v>
      </c>
      <c r="C39" s="17" t="n">
        <v>0</v>
      </c>
      <c r="D39" s="18">
        <f>B39+C39</f>
        <v/>
      </c>
      <c r="E39" s="19" t="n">
        <v>0</v>
      </c>
      <c r="F39" s="16">
        <f>D39*E39</f>
        <v/>
      </c>
      <c r="G39" s="17" t="n">
        <v>0</v>
      </c>
      <c r="H39" s="16">
        <f>F39+G39</f>
        <v/>
      </c>
    </row>
    <row r="40" ht="19" customHeight="1">
      <c r="A40" s="26" t="inlineStr">
        <is>
          <t>Final Clean</t>
        </is>
      </c>
      <c r="B40" s="27" t="n">
        <v>3675</v>
      </c>
      <c r="C40" s="28" t="n">
        <v>0</v>
      </c>
      <c r="D40" s="29">
        <f>B40+C40</f>
        <v/>
      </c>
      <c r="E40" s="30" t="n">
        <v>0</v>
      </c>
      <c r="F40" s="27">
        <f>D40*E40</f>
        <v/>
      </c>
      <c r="G40" s="28" t="n">
        <v>0</v>
      </c>
      <c r="H40" s="27">
        <f>F40+G40</f>
        <v/>
      </c>
    </row>
    <row r="41" ht="19" customHeight="1">
      <c r="A41" s="26" t="inlineStr">
        <is>
          <t>Contingency</t>
        </is>
      </c>
      <c r="B41" s="27" t="n">
        <v>35280</v>
      </c>
      <c r="C41" s="28" t="n">
        <v>0</v>
      </c>
      <c r="D41" s="29">
        <f>B41+C41</f>
        <v/>
      </c>
      <c r="E41" s="30" t="n">
        <v>0</v>
      </c>
      <c r="F41" s="27">
        <f>D41*E41</f>
        <v/>
      </c>
      <c r="G41" s="28" t="n">
        <v>0</v>
      </c>
      <c r="H41" s="27">
        <f>F41+G41</f>
        <v/>
      </c>
    </row>
    <row r="42" ht="19" customHeight="1">
      <c r="A42" s="15" t="inlineStr">
        <is>
          <t>Overhead 15%   [TBD — Pricing Pending]</t>
        </is>
      </c>
      <c r="B42" s="16" t="n">
        <v>0</v>
      </c>
      <c r="C42" s="17" t="n">
        <v>0</v>
      </c>
      <c r="D42" s="18">
        <f>B42+C42</f>
        <v/>
      </c>
      <c r="E42" s="19" t="n">
        <v>0</v>
      </c>
      <c r="F42" s="16">
        <f>D42*E42</f>
        <v/>
      </c>
      <c r="G42" s="17" t="n">
        <v>0</v>
      </c>
      <c r="H42" s="16">
        <f>F42+G42</f>
        <v/>
      </c>
    </row>
    <row r="43" ht="26" customHeight="1">
      <c r="A43" s="32" t="inlineStr">
        <is>
          <t>PROJECT TOTALS</t>
        </is>
      </c>
      <c r="B43" s="33">
        <f>SUM(B17:B42)</f>
        <v/>
      </c>
      <c r="C43" s="33">
        <f>SUM(C17:C42)</f>
        <v/>
      </c>
      <c r="D43" s="33">
        <f>SUM(D17:D42)</f>
        <v/>
      </c>
      <c r="E43" s="32" t="inlineStr">
        <is>
          <t>—</t>
        </is>
      </c>
      <c r="F43" s="33">
        <f>SUM(F17:F42)</f>
        <v/>
      </c>
      <c r="G43" s="33">
        <f>SUM(G17:G42)</f>
        <v/>
      </c>
      <c r="H43" s="33">
        <f>SUM(H17:H42)</f>
        <v/>
      </c>
    </row>
    <row r="44" ht="12" customHeight="1"/>
    <row r="45" ht="26" customHeight="1">
      <c r="A45" s="34" t="inlineStr">
        <is>
          <t xml:space="preserve">  FINANCIAL SUMMARY</t>
        </is>
      </c>
    </row>
    <row r="46" ht="26" customHeight="1">
      <c r="A46" s="6" t="inlineStr">
        <is>
          <t xml:space="preserve">  Total Contract Value (All Current Pricing incl. Change Orders)</t>
        </is>
      </c>
      <c r="F46" s="35">
        <f>SUM(D17:D42)</f>
        <v/>
      </c>
    </row>
    <row r="47" ht="26" customHeight="1">
      <c r="A47" s="36" t="inlineStr">
        <is>
          <t xml:space="preserve">  Total Work Performed to Date  (Value Earned)</t>
        </is>
      </c>
      <c r="F47" s="37">
        <f>SUMPRODUCT(D17:D42,E17:E42)</f>
        <v/>
      </c>
    </row>
    <row r="48" ht="26" customHeight="1">
      <c r="A48" s="38" t="inlineStr">
        <is>
          <t xml:space="preserve">  Total Cash Paid to Date  (9 payments received — see Payment Summary above)</t>
        </is>
      </c>
      <c r="F48" s="39">
        <f>F14</f>
        <v/>
      </c>
    </row>
    <row r="49" ht="26" customHeight="1">
      <c r="A49" s="6" t="inlineStr">
        <is>
          <t xml:space="preserve">  Balance Due on Completed Work  (Performed − Paid)</t>
        </is>
      </c>
      <c r="F49" s="35">
        <f>ROUND(F47-F48,2)</f>
        <v/>
      </c>
    </row>
    <row r="50" ht="26" customHeight="1">
      <c r="A50" s="40" t="inlineStr">
        <is>
          <t xml:space="preserve">  New Advance Draws Requested — Next-Phase Mobilization</t>
        </is>
      </c>
      <c r="F50" s="41">
        <f>F51-F49</f>
        <v/>
      </c>
    </row>
    <row r="51" ht="26" customHeight="1">
      <c r="A51" s="42" t="inlineStr">
        <is>
          <t xml:space="preserve">  TOTAL DUE THIS INVOICE  (#3526-09)  =  Total to Date − Paid</t>
        </is>
      </c>
      <c r="F51" s="43">
        <f>ROUND(SUM(H17:H42)-F48,2)</f>
        <v/>
      </c>
    </row>
    <row r="52" ht="26" customHeight="1">
      <c r="A52" s="44" t="inlineStr">
        <is>
          <t xml:space="preserve">  Overall Project % Complete  (Performed ÷ Contract)</t>
        </is>
      </c>
      <c r="F52" s="45">
        <f>F47/F46</f>
        <v/>
      </c>
    </row>
    <row r="53" ht="26" customHeight="1">
      <c r="A53" s="6" t="inlineStr">
        <is>
          <t xml:space="preserve">  Total Remaining — Future Work Not Yet Started</t>
        </is>
      </c>
      <c r="F53" s="35">
        <f>F46-F47</f>
        <v/>
      </c>
    </row>
    <row r="54" ht="8" customHeight="1"/>
    <row r="55" ht="20" customHeight="1">
      <c r="A55" s="46" t="inlineStr">
        <is>
          <t xml:space="preserve">  KEY:   [ Green ] = 100% Complete   [ Yellow ] = In Progress   [ Gray ] = TBD / Pricing Pending   [ Orange CO ] = Price Increase   [ Blue CO ] = Price Decrease / Savings   [ Red Current Due ] = Billed This Invoice</t>
        </is>
      </c>
    </row>
    <row r="56" ht="132" customHeight="1">
      <c r="A56" s="47" t="inlineStr">
        <is>
          <t>NOTES:  (1) Owner payment of $35,500.00 received __/__/2026 paid Invoice #3526-08 in full (Kitchen $19,000 progress, Guest Bath $6,500 progress, Laundry Room $5,000 progress, Painting &amp; Baseboards $5,000 progress — all now recognized as completed work, no longer billed this invoice). Total cash paid to date: $490,836.30.  (2) CURRENT DUE THIS INVOICE (#3526-09) = $0.00 — no new billing this period.  (3) CRAWL SPACE: $10,000 of $15,015 complete (66.60%) — no new billing this invoice.  (4) KITCHEN: $39,000 of $89,512 complete (43.57%) — fully paid via Invoice #3526-08; no new billing this invoice.  (5) PRIMARY BATH: $22,000 of $62,055 complete (35.45%) — no new billing this invoice.  (6) GUEST BATH: $16,500 of $31,500 complete (52.38%) — fully paid via Invoice #3526-08; no new billing this invoice.  (7) LAUNDRY ROOM: $10,000 of $23,572 complete (42.42%) — fully paid via Invoice #3526-08; no new billing this invoice.  (8) CLOSETS &amp; MARK'S OFFICE: $15,000 of $41,737 complete (35.94%) — no new billing this invoice.  (9) DOORS: $23,841.08 of $26,252 complete (90.82%) — no new billing this invoice.  (10) ELECTRICAL (WHOLE HOUSE): $79,000 of $90,000 complete (87.78%) — no new billing this invoice.  (11) PLUMBING (WHOLE HOUSE): $46,800 of $70,000 complete (66.86%) — no new billing this invoice.  (12) DRYWALL: $46,000 of $47,250 complete (97.35%) — no new billing this invoice.  (13) PAINTING &amp; BASEBOARDS: $42,000 of $49,087 complete (85.56%) — fully paid via Invoice #3526-08; no new billing this invoice.  (14) 100% COMPLETE: Roof Repairs $6,000 (change order); Interior Walls &amp; Framing $14,368.50 (change order); HVAC — A/C Registers (CO) $2,500 (change order); Stucco $37,300 (incl. +$10,000 change order); Flooring $66,926.72 (incl. +$21,251.72 change order); Insulation $13,600 (change order).  (15) Change orders to date: Roof Repairs +$6,000, Interior Walls &amp; Framing +$14,368.50, HVAC — A/C Registers (CO) +$2,500, Stucco +$10,000, Doors +$11,500, Flooring +$21,251.72, Electrical (Whole House) −$15,000, Plumbing (Whole House) −$24,500, Insulation +$13,600, Drywall −$2,100 (net +$37,620.22).  (16) Items marked TBD are pending owner decisions, change-order pricing, or site evaluation. Pending change orders issued for owner approval (double-layer perimeter walls, rear deck, block walls, landscape) are NOT reflected in this tracker and will be added only upon written owner approval.</t>
        </is>
      </c>
    </row>
  </sheetData>
  <mergeCells count="44">
    <mergeCell ref="A48:E48"/>
    <mergeCell ref="F5:H5"/>
    <mergeCell ref="G2:H2"/>
    <mergeCell ref="A11:E11"/>
    <mergeCell ref="F8:H8"/>
    <mergeCell ref="A49:E49"/>
    <mergeCell ref="F50:H50"/>
    <mergeCell ref="A51:E51"/>
    <mergeCell ref="A1:H1"/>
    <mergeCell ref="A45:H45"/>
    <mergeCell ref="A6:E6"/>
    <mergeCell ref="F47:H47"/>
    <mergeCell ref="F46:H46"/>
    <mergeCell ref="F13:H13"/>
    <mergeCell ref="A7:E7"/>
    <mergeCell ref="A46:E46"/>
    <mergeCell ref="F9:H9"/>
    <mergeCell ref="F52:H52"/>
    <mergeCell ref="F48:H48"/>
    <mergeCell ref="A56:H56"/>
    <mergeCell ref="A12:E12"/>
    <mergeCell ref="A50:E50"/>
    <mergeCell ref="A55:H55"/>
    <mergeCell ref="F14:H14"/>
    <mergeCell ref="E2:F2"/>
    <mergeCell ref="F49:H49"/>
    <mergeCell ref="A47:E47"/>
    <mergeCell ref="A5:E5"/>
    <mergeCell ref="A8:E8"/>
    <mergeCell ref="A14:E14"/>
    <mergeCell ref="F53:H53"/>
    <mergeCell ref="F11:H11"/>
    <mergeCell ref="A4:H4"/>
    <mergeCell ref="F10:H10"/>
    <mergeCell ref="A53:E53"/>
    <mergeCell ref="F6:H6"/>
    <mergeCell ref="A52:E52"/>
    <mergeCell ref="A10:E10"/>
    <mergeCell ref="A2:D2"/>
    <mergeCell ref="F7:H7"/>
    <mergeCell ref="F12:H12"/>
    <mergeCell ref="A13:E13"/>
    <mergeCell ref="A9:E9"/>
    <mergeCell ref="F51:H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2026-09-10T02:39:50Z</dcterms:created>
  <dcterms:modified xsi:type="dcterms:W3CDTF">2026-09-10T02:39:50Z</dcterms:modified>
</cp:coreProperties>
</file>